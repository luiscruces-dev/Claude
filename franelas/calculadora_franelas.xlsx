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Produccion" sheetId="2" state="visible" r:id="rId4"/>
    <sheet name="Sensibilida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<sst xmlns="http://schemas.openxmlformats.org/spreadsheetml/2006/main" count="89" uniqueCount="89">
  <si>
    <t xml:space="preserve">Costo y ganancia por franela</t>
  </si>
  <si>
    <t xml:space="preserve">Cambia solo las celdas amarillas (texto azul). Todo lo demás se calcula solo.</t>
  </si>
  <si>
    <t xml:space="preserve">DATOS</t>
  </si>
  <si>
    <t xml:space="preserve">Precio de la tela ($/kg)</t>
  </si>
  <si>
    <t xml:space="preserve">Comprando por rollo cerrado. Referencia Caracas: $9–11/kg algodón blanco al mayor</t>
  </si>
  <si>
    <t xml:space="preserve">Gramaje de la tela (g/m²)</t>
  </si>
  <si>
    <t xml:space="preserve">Jersey 30/1 ≈ 140–160. Mídelo: cuadrado de 10×10 cm en gramos × 100</t>
  </si>
  <si>
    <t xml:space="preserve">Tela por franela, promedio de tallas (m²)</t>
  </si>
  <si>
    <t xml:space="preserve">Incluye desperdicio. Talla L ≈ 1,35 m²; S–XL mezcladas ≈ 1,2 m². Ajústalo con tu lote piloto</t>
  </si>
  <si>
    <t xml:space="preserve">Rib para el cuello (g por franela)</t>
  </si>
  <si>
    <t xml:space="preserve">Precio del rib ($/kg)</t>
  </si>
  <si>
    <t xml:space="preserve">Hilo por franela ($)</t>
  </si>
  <si>
    <t xml:space="preserve">Overlock + recubridora. Un cono de ~$2 rinde ~30 franelas por hilo usado</t>
  </si>
  <si>
    <t xml:space="preserve">Etiqueta de talla ($)</t>
  </si>
  <si>
    <t xml:space="preserve">Bolsa / empaque por franela ($)</t>
  </si>
  <si>
    <t xml:space="preserve">Si usas una bolsa por docena, divide su precio entre 12</t>
  </si>
  <si>
    <t xml:space="preserve">Luz, agujas, aceite, mantenimiento ($ por franela)</t>
  </si>
  <si>
    <t xml:space="preserve">Estimado. Revísalo con tu recibo de luz y gastos del mes</t>
  </si>
  <si>
    <t xml:space="preserve">Merma / piezas dañadas (%)</t>
  </si>
  <si>
    <t xml:space="preserve">Franelas que salen mal y no se pueden vender</t>
  </si>
  <si>
    <t xml:space="preserve">Precio de venta por franela ($)</t>
  </si>
  <si>
    <t xml:space="preserve">Vendiendo por docena: $3 × 12 = $36 la docena</t>
  </si>
  <si>
    <t xml:space="preserve">Margen que quieres ganar (%)</t>
  </si>
  <si>
    <t xml:space="preserve">Para calcular el precio mínimo recomendado</t>
  </si>
  <si>
    <t xml:space="preserve">RESULTADOS POR FRANELA</t>
  </si>
  <si>
    <t xml:space="preserve">Tela usada (gramos)</t>
  </si>
  <si>
    <t xml:space="preserve">Franelas por rollo de 25 kg</t>
  </si>
  <si>
    <t xml:space="preserve">Costo de la tela</t>
  </si>
  <si>
    <t xml:space="preserve">Costo del rib</t>
  </si>
  <si>
    <t xml:space="preserve">Otros insumos (hilo, etiqueta, bolsa, luz)</t>
  </si>
  <si>
    <t xml:space="preserve">Costo antes de merma</t>
  </si>
  <si>
    <t xml:space="preserve">Costo por merma</t>
  </si>
  <si>
    <t xml:space="preserve">COSTO TOTAL POR FRANELA</t>
  </si>
  <si>
    <t xml:space="preserve">No incluye su mano de obra: la ganancia es su pago</t>
  </si>
  <si>
    <t xml:space="preserve">GANANCIA POR FRANELA</t>
  </si>
  <si>
    <t xml:space="preserve">Margen</t>
  </si>
  <si>
    <t xml:space="preserve">POR DOCENA</t>
  </si>
  <si>
    <t xml:space="preserve">Precio de venta por docena</t>
  </si>
  <si>
    <t xml:space="preserve">Costo por docena</t>
  </si>
  <si>
    <t xml:space="preserve">GANANCIA POR DOCENA</t>
  </si>
  <si>
    <t xml:space="preserve">PRECIO RECOMENDADO</t>
  </si>
  <si>
    <t xml:space="preserve">Precio mínimo por franela para tu margen</t>
  </si>
  <si>
    <t xml:space="preserve">Con el margen de la celda B16</t>
  </si>
  <si>
    <t xml:space="preserve">Precio mínimo por docena para tu margen</t>
  </si>
  <si>
    <t xml:space="preserve">Leyenda: celdas amarillas con texto azul = datos que tú cambias · celdas verdes = resultados clave.</t>
  </si>
  <si>
    <t xml:space="preserve">Los valores de ejemplo son estimados de referencia (Venezuela, oct. 2026). Reemplázalos con tus costos reales.</t>
  </si>
  <si>
    <t xml:space="preserve">Producción, ganancia mensual e inversión</t>
  </si>
  <si>
    <t xml:space="preserve">Para dos personas cosiendo en casa. Usa los costos de la hoja Calculadora.</t>
  </si>
  <si>
    <t xml:space="preserve">DATOS DE PRODUCCIÓN</t>
  </si>
  <si>
    <t xml:space="preserve">Franelas terminadas por día (entre los dos)</t>
  </si>
  <si>
    <t xml:space="preserve">Incluye cortar, coser, revisar y empacar. Empezando puede ser 30–40; con práctica 60–80</t>
  </si>
  <si>
    <t xml:space="preserve">Días de trabajo al mes</t>
  </si>
  <si>
    <t xml:space="preserve">Horas de trabajo por día</t>
  </si>
  <si>
    <t xml:space="preserve">Personas</t>
  </si>
  <si>
    <t xml:space="preserve">Peso de un rollo (kg)</t>
  </si>
  <si>
    <t xml:space="preserve">INVERSIÓN EN MÁQUINAS (estimados, cotiza en tu zona)</t>
  </si>
  <si>
    <t xml:space="preserve">Overlock industrial 4 hilos ($)</t>
  </si>
  <si>
    <t xml:space="preserve">Para cerrar costados, hombros y pegar mangas</t>
  </si>
  <si>
    <t xml:space="preserve">Recubridora / collareta industrial ($)</t>
  </si>
  <si>
    <t xml:space="preserve">Para ruedos de manga y bajo. Es la que da el acabado profesional</t>
  </si>
  <si>
    <t xml:space="preserve">Máquina recta industrial ($)</t>
  </si>
  <si>
    <t xml:space="preserve">Opcional al inicio: para etiquetas y pespuntes</t>
  </si>
  <si>
    <t xml:space="preserve">Cortadora de tela (circular o vertical) ($)</t>
  </si>
  <si>
    <t xml:space="preserve">Para cortar varias capas a la vez</t>
  </si>
  <si>
    <t xml:space="preserve">Mesa de corte, tijeras, reglas, moldes ($)</t>
  </si>
  <si>
    <t xml:space="preserve">Total inversión</t>
  </si>
  <si>
    <t xml:space="preserve">Vida útil de las máquinas (meses)</t>
  </si>
  <si>
    <t xml:space="preserve">Para repartir el costo de las máquinas en el tiempo</t>
  </si>
  <si>
    <t xml:space="preserve">RESULTADOS DEL MES</t>
  </si>
  <si>
    <t xml:space="preserve">Franelas al mes</t>
  </si>
  <si>
    <t xml:space="preserve">Docenas al mes</t>
  </si>
  <si>
    <t xml:space="preserve">Tela necesaria (kg)</t>
  </si>
  <si>
    <t xml:space="preserve">Rollos al mes</t>
  </si>
  <si>
    <t xml:space="preserve">Ventas al mes</t>
  </si>
  <si>
    <t xml:space="preserve">Dinero para materiales al mes (capital de trabajo)</t>
  </si>
  <si>
    <t xml:space="preserve">Lo que necesitan tener disponible para comprar tela e insumos</t>
  </si>
  <si>
    <t xml:space="preserve">Ganancia al mes antes de máquinas</t>
  </si>
  <si>
    <t xml:space="preserve">Desgaste de máquinas al mes</t>
  </si>
  <si>
    <t xml:space="preserve">GANANCIA NETA AL MES (los dos)</t>
  </si>
  <si>
    <t xml:space="preserve">Este es el pago de su trabajo</t>
  </si>
  <si>
    <t xml:space="preserve">Ganancia por persona al mes</t>
  </si>
  <si>
    <t xml:space="preserve">Ganancia por hora, por persona</t>
  </si>
  <si>
    <t xml:space="preserve">Meses para recuperar la inversión en máquinas</t>
  </si>
  <si>
    <t xml:space="preserve">Importante: estos números suponen que venden todo lo que producen. Si venden menos, baja la ganancia, no el costo por franela.</t>
  </si>
  <si>
    <t xml:space="preserve">Ganancia por DOCENA según precio de tela y precio de venta</t>
  </si>
  <si>
    <t xml:space="preserve">Usa los demás costos de la hoja Calculadora. Verde: buena · Amarillo: justa · Rojo: muy poca o pérdida.</t>
  </si>
  <si>
    <t xml:space="preserve">Precio tela ($/kg) ↓   ·   Precio venta por franela →</t>
  </si>
  <si>
    <t xml:space="preserve">Cómo leerla: busca tu precio de tela (fila) y tu precio de venta (columna). El número es lo que ganan por cada docena vendida.</t>
  </si>
  <si>
    <t xml:space="preserve">Rojo &lt; $6 por docena · Amarillo $6–10 · Verde ≥ $10. Puedes cambiar los precios de las filas y columnas.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</si>
</sst>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#,##0"/>
    <numFmt numFmtId="167" formatCode="0.00"/>
    <numFmt numFmtId="168" formatCode="0.0%"/>
    <numFmt numFmtId="169" formatCode="\$#,##0;&quot;($&quot;#,##0\);\-"/>
    <numFmt numFmtId="170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8</v>
      </c>
      <c r="C5" s="7" t="s">
        <v>4</v>
      </c>
    </row>
    <row r="6" customFormat="false" ht="15" hidden="false" customHeight="false" outlineLevel="0" collapsed="false">
      <c r="A6" s="5" t="s">
        <v>5</v>
      </c>
      <c r="B6" s="8" t="n">
        <v>150</v>
      </c>
      <c r="C6" s="7" t="s">
        <v>6</v>
      </c>
    </row>
    <row r="7" customFormat="false" ht="15" hidden="false" customHeight="false" outlineLevel="0" collapsed="false">
      <c r="A7" s="5" t="s">
        <v>7</v>
      </c>
      <c r="B7" s="9" t="n">
        <v>1.2</v>
      </c>
      <c r="C7" s="7" t="s">
        <v>8</v>
      </c>
    </row>
    <row r="8" customFormat="false" ht="15" hidden="false" customHeight="false" outlineLevel="0" collapsed="false">
      <c r="A8" s="5" t="s">
        <v>9</v>
      </c>
      <c r="B8" s="8" t="n">
        <v>10</v>
      </c>
      <c r="C8" s="7"/>
    </row>
    <row r="9" customFormat="false" ht="15" hidden="false" customHeight="false" outlineLevel="0" collapsed="false">
      <c r="A9" s="5" t="s">
        <v>10</v>
      </c>
      <c r="B9" s="6" t="n">
        <v>10</v>
      </c>
      <c r="C9" s="7"/>
    </row>
    <row r="10" customFormat="false" ht="15" hidden="false" customHeight="false" outlineLevel="0" collapsed="false">
      <c r="A10" s="5" t="s">
        <v>11</v>
      </c>
      <c r="B10" s="6" t="n">
        <v>0.07</v>
      </c>
      <c r="C10" s="7" t="s">
        <v>12</v>
      </c>
    </row>
    <row r="11" customFormat="false" ht="15" hidden="false" customHeight="false" outlineLevel="0" collapsed="false">
      <c r="A11" s="5" t="s">
        <v>13</v>
      </c>
      <c r="B11" s="6" t="n">
        <v>0.03</v>
      </c>
      <c r="C11" s="7"/>
    </row>
    <row r="12" customFormat="false" ht="15" hidden="false" customHeight="false" outlineLevel="0" collapsed="false">
      <c r="A12" s="5" t="s">
        <v>14</v>
      </c>
      <c r="B12" s="6" t="n">
        <v>0.03</v>
      </c>
      <c r="C12" s="7" t="s">
        <v>15</v>
      </c>
    </row>
    <row r="13" customFormat="false" ht="15" hidden="false" customHeight="false" outlineLevel="0" collapsed="false">
      <c r="A13" s="5" t="s">
        <v>16</v>
      </c>
      <c r="B13" s="6" t="n">
        <v>0.08</v>
      </c>
      <c r="C13" s="7" t="s">
        <v>17</v>
      </c>
    </row>
    <row r="14" customFormat="false" ht="15" hidden="false" customHeight="false" outlineLevel="0" collapsed="false">
      <c r="A14" s="5" t="s">
        <v>18</v>
      </c>
      <c r="B14" s="10" t="n">
        <v>0.03</v>
      </c>
      <c r="C14" s="7" t="s">
        <v>19</v>
      </c>
    </row>
    <row r="15" customFormat="false" ht="15" hidden="false" customHeight="false" outlineLevel="0" collapsed="false">
      <c r="A15" s="5" t="s">
        <v>20</v>
      </c>
      <c r="B15" s="6" t="n">
        <v>3</v>
      </c>
      <c r="C15" s="7" t="s">
        <v>21</v>
      </c>
    </row>
    <row r="16" customFormat="false" ht="15" hidden="false" customHeight="false" outlineLevel="0" collapsed="false">
      <c r="A16" s="5" t="s">
        <v>22</v>
      </c>
      <c r="B16" s="10" t="n">
        <v>0.3</v>
      </c>
      <c r="C16" s="7" t="s">
        <v>23</v>
      </c>
    </row>
    <row r="18" customFormat="false" ht="15" hidden="false" customHeight="false" outlineLevel="0" collapsed="false">
      <c r="A18" s="3" t="s">
        <v>24</v>
      </c>
      <c r="B18" s="4"/>
      <c r="C18" s="4"/>
    </row>
    <row r="19" customFormat="false" ht="15" hidden="false" customHeight="false" outlineLevel="0" collapsed="false">
      <c r="A19" s="5" t="s">
        <v>25</v>
      </c>
      <c r="B19" s="11" t="n">
        <f aca="false">B6*B7</f>
        <v>180</v>
      </c>
      <c r="C19" s="7"/>
    </row>
    <row r="20" customFormat="false" ht="15" hidden="false" customHeight="false" outlineLevel="0" collapsed="false">
      <c r="A20" s="5" t="s">
        <v>26</v>
      </c>
      <c r="B20" s="11" t="n">
        <f aca="false">IF(B19&gt;0,25000/B19,0)</f>
        <v>138.888888888889</v>
      </c>
      <c r="C20" s="7"/>
    </row>
    <row r="21" customFormat="false" ht="15" hidden="false" customHeight="false" outlineLevel="0" collapsed="false">
      <c r="A21" s="5" t="s">
        <v>27</v>
      </c>
      <c r="B21" s="12" t="n">
        <f aca="false">B19/1000*B5</f>
        <v>1.44</v>
      </c>
      <c r="C21" s="7"/>
    </row>
    <row r="22" customFormat="false" ht="15" hidden="false" customHeight="false" outlineLevel="0" collapsed="false">
      <c r="A22" s="5" t="s">
        <v>28</v>
      </c>
      <c r="B22" s="12" t="n">
        <f aca="false">B8/1000*B9</f>
        <v>0.1</v>
      </c>
      <c r="C22" s="7"/>
    </row>
    <row r="23" customFormat="false" ht="15" hidden="false" customHeight="false" outlineLevel="0" collapsed="false">
      <c r="A23" s="5" t="s">
        <v>29</v>
      </c>
      <c r="B23" s="12" t="n">
        <f aca="false">B10+B11+B12+B13</f>
        <v>0.21</v>
      </c>
      <c r="C23" s="7"/>
    </row>
    <row r="24" customFormat="false" ht="15" hidden="false" customHeight="false" outlineLevel="0" collapsed="false">
      <c r="A24" s="5" t="s">
        <v>30</v>
      </c>
      <c r="B24" s="12" t="n">
        <f aca="false">B21+B22+B23</f>
        <v>1.75</v>
      </c>
      <c r="C24" s="7"/>
    </row>
    <row r="25" customFormat="false" ht="15" hidden="false" customHeight="false" outlineLevel="0" collapsed="false">
      <c r="A25" s="5" t="s">
        <v>31</v>
      </c>
      <c r="B25" s="12" t="n">
        <f aca="false">B24*B14</f>
        <v>0.0525</v>
      </c>
      <c r="C25" s="7"/>
    </row>
    <row r="26" customFormat="false" ht="15" hidden="false" customHeight="false" outlineLevel="0" collapsed="false">
      <c r="A26" s="13" t="s">
        <v>32</v>
      </c>
      <c r="B26" s="14" t="n">
        <f aca="false">B24+B25</f>
        <v>1.8025</v>
      </c>
      <c r="C26" s="7" t="s">
        <v>33</v>
      </c>
    </row>
    <row r="27" customFormat="false" ht="15" hidden="false" customHeight="false" outlineLevel="0" collapsed="false">
      <c r="A27" s="13" t="s">
        <v>34</v>
      </c>
      <c r="B27" s="14" t="n">
        <f aca="false">B15-B26</f>
        <v>1.1975</v>
      </c>
      <c r="C27" s="7"/>
    </row>
    <row r="28" customFormat="false" ht="15" hidden="false" customHeight="false" outlineLevel="0" collapsed="false">
      <c r="A28" s="5" t="s">
        <v>35</v>
      </c>
      <c r="B28" s="15" t="n">
        <f aca="false">IF(B15&gt;0,B27/B15,0)</f>
        <v>0.399166666666667</v>
      </c>
      <c r="C28" s="7"/>
    </row>
    <row r="30" customFormat="false" ht="15" hidden="false" customHeight="false" outlineLevel="0" collapsed="false">
      <c r="A30" s="3" t="s">
        <v>36</v>
      </c>
      <c r="B30" s="4"/>
      <c r="C30" s="4"/>
    </row>
    <row r="31" customFormat="false" ht="15" hidden="false" customHeight="false" outlineLevel="0" collapsed="false">
      <c r="A31" s="5" t="s">
        <v>37</v>
      </c>
      <c r="B31" s="12" t="n">
        <f aca="false">B15*12</f>
        <v>36</v>
      </c>
      <c r="C31" s="7"/>
    </row>
    <row r="32" customFormat="false" ht="15" hidden="false" customHeight="false" outlineLevel="0" collapsed="false">
      <c r="A32" s="5" t="s">
        <v>38</v>
      </c>
      <c r="B32" s="12" t="n">
        <f aca="false">B26*12</f>
        <v>21.63</v>
      </c>
      <c r="C32" s="7"/>
    </row>
    <row r="33" customFormat="false" ht="15" hidden="false" customHeight="false" outlineLevel="0" collapsed="false">
      <c r="A33" s="13" t="s">
        <v>39</v>
      </c>
      <c r="B33" s="14" t="n">
        <f aca="false">B27*12</f>
        <v>14.37</v>
      </c>
      <c r="C33" s="7"/>
    </row>
    <row r="35" customFormat="false" ht="15" hidden="false" customHeight="false" outlineLevel="0" collapsed="false">
      <c r="A35" s="3" t="s">
        <v>40</v>
      </c>
      <c r="B35" s="4"/>
      <c r="C35" s="4"/>
    </row>
    <row r="36" customFormat="false" ht="15" hidden="false" customHeight="false" outlineLevel="0" collapsed="false">
      <c r="A36" s="5" t="s">
        <v>41</v>
      </c>
      <c r="B36" s="12" t="n">
        <f aca="false">IF(B16&lt;1,B26/(1-B16),0)</f>
        <v>2.575</v>
      </c>
      <c r="C36" s="7" t="s">
        <v>42</v>
      </c>
    </row>
    <row r="37" customFormat="false" ht="15" hidden="false" customHeight="false" outlineLevel="0" collapsed="false">
      <c r="A37" s="5" t="s">
        <v>43</v>
      </c>
      <c r="B37" s="12" t="n">
        <f aca="false">B36*12</f>
        <v>30.9</v>
      </c>
      <c r="C37" s="7"/>
    </row>
    <row r="39" customFormat="false" ht="15" hidden="false" customHeight="false" outlineLevel="0" collapsed="false">
      <c r="A39" s="7" t="s">
        <v>44</v>
      </c>
    </row>
    <row r="40" customFormat="false" ht="15" hidden="false" customHeight="false" outlineLevel="0" collapsed="false">
      <c r="A40" s="7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3" t="s">
        <v>48</v>
      </c>
      <c r="B4" s="4"/>
      <c r="C4" s="4"/>
    </row>
    <row r="5" customFormat="false" ht="15" hidden="false" customHeight="false" outlineLevel="0" collapsed="false">
      <c r="A5" s="5" t="s">
        <v>49</v>
      </c>
      <c r="B5" s="8" t="n">
        <v>50</v>
      </c>
      <c r="C5" s="7" t="s">
        <v>50</v>
      </c>
    </row>
    <row r="6" customFormat="false" ht="15" hidden="false" customHeight="false" outlineLevel="0" collapsed="false">
      <c r="A6" s="5" t="s">
        <v>51</v>
      </c>
      <c r="B6" s="8" t="n">
        <v>22</v>
      </c>
      <c r="C6" s="7"/>
    </row>
    <row r="7" customFormat="false" ht="15" hidden="false" customHeight="false" outlineLevel="0" collapsed="false">
      <c r="A7" s="5" t="s">
        <v>52</v>
      </c>
      <c r="B7" s="8" t="n">
        <v>8</v>
      </c>
      <c r="C7" s="7"/>
    </row>
    <row r="8" customFormat="false" ht="15" hidden="false" customHeight="false" outlineLevel="0" collapsed="false">
      <c r="A8" s="5" t="s">
        <v>53</v>
      </c>
      <c r="B8" s="8" t="n">
        <v>2</v>
      </c>
      <c r="C8" s="7"/>
    </row>
    <row r="9" customFormat="false" ht="15" hidden="false" customHeight="false" outlineLevel="0" collapsed="false">
      <c r="A9" s="5" t="s">
        <v>54</v>
      </c>
      <c r="B9" s="8" t="n">
        <v>25</v>
      </c>
      <c r="C9" s="7"/>
    </row>
    <row r="11" customFormat="false" ht="15" hidden="false" customHeight="false" outlineLevel="0" collapsed="false">
      <c r="A11" s="3" t="s">
        <v>55</v>
      </c>
      <c r="B11" s="4"/>
      <c r="C11" s="4"/>
    </row>
    <row r="12" customFormat="false" ht="15" hidden="false" customHeight="false" outlineLevel="0" collapsed="false">
      <c r="A12" s="5" t="s">
        <v>56</v>
      </c>
      <c r="B12" s="16" t="n">
        <v>500</v>
      </c>
      <c r="C12" s="7" t="s">
        <v>57</v>
      </c>
    </row>
    <row r="13" customFormat="false" ht="15" hidden="false" customHeight="false" outlineLevel="0" collapsed="false">
      <c r="A13" s="5" t="s">
        <v>58</v>
      </c>
      <c r="B13" s="16" t="n">
        <v>700</v>
      </c>
      <c r="C13" s="7" t="s">
        <v>59</v>
      </c>
    </row>
    <row r="14" customFormat="false" ht="15" hidden="false" customHeight="false" outlineLevel="0" collapsed="false">
      <c r="A14" s="5" t="s">
        <v>60</v>
      </c>
      <c r="B14" s="16" t="n">
        <v>300</v>
      </c>
      <c r="C14" s="7" t="s">
        <v>61</v>
      </c>
    </row>
    <row r="15" customFormat="false" ht="15" hidden="false" customHeight="false" outlineLevel="0" collapsed="false">
      <c r="A15" s="5" t="s">
        <v>62</v>
      </c>
      <c r="B15" s="16" t="n">
        <v>250</v>
      </c>
      <c r="C15" s="7" t="s">
        <v>63</v>
      </c>
    </row>
    <row r="16" customFormat="false" ht="15" hidden="false" customHeight="false" outlineLevel="0" collapsed="false">
      <c r="A16" s="5" t="s">
        <v>64</v>
      </c>
      <c r="B16" s="16" t="n">
        <v>150</v>
      </c>
      <c r="C16" s="7"/>
    </row>
    <row r="17" customFormat="false" ht="15" hidden="false" customHeight="false" outlineLevel="0" collapsed="false">
      <c r="A17" s="13" t="s">
        <v>65</v>
      </c>
      <c r="B17" s="17" t="n">
        <f aca="false">SUM(B12:B16)</f>
        <v>1900</v>
      </c>
      <c r="C17" s="7"/>
    </row>
    <row r="18" customFormat="false" ht="15" hidden="false" customHeight="false" outlineLevel="0" collapsed="false">
      <c r="A18" s="5" t="s">
        <v>66</v>
      </c>
      <c r="B18" s="8" t="n">
        <v>36</v>
      </c>
      <c r="C18" s="7" t="s">
        <v>67</v>
      </c>
    </row>
    <row r="20" customFormat="false" ht="15" hidden="false" customHeight="false" outlineLevel="0" collapsed="false">
      <c r="A20" s="3" t="s">
        <v>68</v>
      </c>
      <c r="B20" s="4"/>
      <c r="C20" s="4"/>
    </row>
    <row r="21" customFormat="false" ht="15" hidden="false" customHeight="false" outlineLevel="0" collapsed="false">
      <c r="A21" s="5" t="s">
        <v>69</v>
      </c>
      <c r="B21" s="11" t="n">
        <f aca="false">B5*B6</f>
        <v>1100</v>
      </c>
      <c r="C21" s="7"/>
    </row>
    <row r="22" customFormat="false" ht="15" hidden="false" customHeight="false" outlineLevel="0" collapsed="false">
      <c r="A22" s="5" t="s">
        <v>70</v>
      </c>
      <c r="B22" s="18" t="n">
        <f aca="false">B21/12</f>
        <v>91.6666666666667</v>
      </c>
      <c r="C22" s="7"/>
    </row>
    <row r="23" customFormat="false" ht="15" hidden="false" customHeight="false" outlineLevel="0" collapsed="false">
      <c r="A23" s="5" t="s">
        <v>71</v>
      </c>
      <c r="B23" s="18" t="n">
        <f aca="false">B21*Calculadora!B19/1000</f>
        <v>198</v>
      </c>
      <c r="C23" s="7"/>
    </row>
    <row r="24" customFormat="false" ht="15" hidden="false" customHeight="false" outlineLevel="0" collapsed="false">
      <c r="A24" s="5" t="s">
        <v>72</v>
      </c>
      <c r="B24" s="18" t="n">
        <f aca="false">IF(B9&gt;0,B23/B9,0)</f>
        <v>7.92</v>
      </c>
      <c r="C24" s="7"/>
    </row>
    <row r="25" customFormat="false" ht="15" hidden="false" customHeight="false" outlineLevel="0" collapsed="false">
      <c r="A25" s="5" t="s">
        <v>73</v>
      </c>
      <c r="B25" s="19" t="n">
        <f aca="false">B21*Calculadora!B15</f>
        <v>3300</v>
      </c>
      <c r="C25" s="7"/>
    </row>
    <row r="26" customFormat="false" ht="15" hidden="false" customHeight="false" outlineLevel="0" collapsed="false">
      <c r="A26" s="5" t="s">
        <v>74</v>
      </c>
      <c r="B26" s="19" t="n">
        <f aca="false">B21*Calculadora!B26</f>
        <v>1982.75</v>
      </c>
      <c r="C26" s="7" t="s">
        <v>75</v>
      </c>
    </row>
    <row r="27" customFormat="false" ht="15" hidden="false" customHeight="false" outlineLevel="0" collapsed="false">
      <c r="A27" s="5" t="s">
        <v>76</v>
      </c>
      <c r="B27" s="19" t="n">
        <f aca="false">B21*Calculadora!B27</f>
        <v>1317.25</v>
      </c>
      <c r="C27" s="7"/>
    </row>
    <row r="28" customFormat="false" ht="15" hidden="false" customHeight="false" outlineLevel="0" collapsed="false">
      <c r="A28" s="5" t="s">
        <v>77</v>
      </c>
      <c r="B28" s="19" t="n">
        <f aca="false">IF(B18&gt;0,B17/B18,0)</f>
        <v>52.7777777777778</v>
      </c>
      <c r="C28" s="7"/>
    </row>
    <row r="29" customFormat="false" ht="15" hidden="false" customHeight="false" outlineLevel="0" collapsed="false">
      <c r="A29" s="13" t="s">
        <v>78</v>
      </c>
      <c r="B29" s="17" t="n">
        <f aca="false">B27-B28</f>
        <v>1264.47222222222</v>
      </c>
      <c r="C29" s="7" t="s">
        <v>79</v>
      </c>
    </row>
    <row r="30" customFormat="false" ht="15" hidden="false" customHeight="false" outlineLevel="0" collapsed="false">
      <c r="A30" s="5" t="s">
        <v>80</v>
      </c>
      <c r="B30" s="19" t="n">
        <f aca="false">IF(B8&gt;0,B29/B8,0)</f>
        <v>632.236111111111</v>
      </c>
      <c r="C30" s="7"/>
    </row>
    <row r="31" customFormat="false" ht="15" hidden="false" customHeight="false" outlineLevel="0" collapsed="false">
      <c r="A31" s="5" t="s">
        <v>81</v>
      </c>
      <c r="B31" s="12" t="n">
        <f aca="false">IF(B8*B6*B7&gt;0,B29/(B8*B6*B7),0)</f>
        <v>3.59225063131313</v>
      </c>
      <c r="C31" s="7"/>
    </row>
    <row r="32" customFormat="false" ht="15" hidden="false" customHeight="false" outlineLevel="0" collapsed="false">
      <c r="A32" s="5" t="s">
        <v>82</v>
      </c>
      <c r="B32" s="18" t="n">
        <f aca="false">IF(B27&gt;0,B17/B27,0)</f>
        <v>1.44239893717973</v>
      </c>
      <c r="C32" s="7"/>
    </row>
    <row r="34" customFormat="false" ht="15" hidden="false" customHeight="false" outlineLevel="0" collapsed="false">
      <c r="A34" s="7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13" t="s">
        <v>86</v>
      </c>
    </row>
    <row r="5" customFormat="false" ht="15" hidden="false" customHeight="false" outlineLevel="0" collapsed="false">
      <c r="B5" s="20" t="n">
        <v>2.5</v>
      </c>
      <c r="C5" s="20" t="n">
        <v>2.75</v>
      </c>
      <c r="D5" s="20" t="n">
        <v>3</v>
      </c>
      <c r="E5" s="20" t="n">
        <v>3.25</v>
      </c>
      <c r="F5" s="20" t="n">
        <v>3.5</v>
      </c>
      <c r="G5" s="20" t="n">
        <v>3.75</v>
      </c>
      <c r="H5" s="20" t="n">
        <v>4</v>
      </c>
    </row>
    <row r="6" customFormat="false" ht="15" hidden="false" customHeight="false" outlineLevel="0" collapsed="false">
      <c r="A6" s="21" t="n">
        <v>6</v>
      </c>
      <c r="B6" s="22" t="n">
        <f aca="false">(B$5-(($A6*Calculadora!$B$19/1000)+Calculadora!$B$22+Calculadora!$B$23)*(1+Calculadora!$B$14))*12</f>
        <v>12.8196</v>
      </c>
      <c r="C6" s="22" t="n">
        <f aca="false">(C$5-(($A6*Calculadora!$B$19/1000)+Calculadora!$B$22+Calculadora!$B$23)*(1+Calculadora!$B$14))*12</f>
        <v>15.8196</v>
      </c>
      <c r="D6" s="22" t="n">
        <f aca="false">(D$5-(($A6*Calculadora!$B$19/1000)+Calculadora!$B$22+Calculadora!$B$23)*(1+Calculadora!$B$14))*12</f>
        <v>18.8196</v>
      </c>
      <c r="E6" s="22" t="n">
        <f aca="false">(E$5-(($A6*Calculadora!$B$19/1000)+Calculadora!$B$22+Calculadora!$B$23)*(1+Calculadora!$B$14))*12</f>
        <v>21.8196</v>
      </c>
      <c r="F6" s="22" t="n">
        <f aca="false">(F$5-(($A6*Calculadora!$B$19/1000)+Calculadora!$B$22+Calculadora!$B$23)*(1+Calculadora!$B$14))*12</f>
        <v>24.8196</v>
      </c>
      <c r="G6" s="22" t="n">
        <f aca="false">(G$5-(($A6*Calculadora!$B$19/1000)+Calculadora!$B$22+Calculadora!$B$23)*(1+Calculadora!$B$14))*12</f>
        <v>27.8196</v>
      </c>
      <c r="H6" s="22" t="n">
        <f aca="false">(H$5-(($A6*Calculadora!$B$19/1000)+Calculadora!$B$22+Calculadora!$B$23)*(1+Calculadora!$B$14))*12</f>
        <v>30.8196</v>
      </c>
    </row>
    <row r="7" customFormat="false" ht="15" hidden="false" customHeight="false" outlineLevel="0" collapsed="false">
      <c r="A7" s="21" t="n">
        <v>7</v>
      </c>
      <c r="B7" s="22" t="n">
        <f aca="false">(B$5-(($A7*Calculadora!$B$19/1000)+Calculadora!$B$22+Calculadora!$B$23)*(1+Calculadora!$B$14))*12</f>
        <v>10.5948</v>
      </c>
      <c r="C7" s="22" t="n">
        <f aca="false">(C$5-(($A7*Calculadora!$B$19/1000)+Calculadora!$B$22+Calculadora!$B$23)*(1+Calculadora!$B$14))*12</f>
        <v>13.5948</v>
      </c>
      <c r="D7" s="22" t="n">
        <f aca="false">(D$5-(($A7*Calculadora!$B$19/1000)+Calculadora!$B$22+Calculadora!$B$23)*(1+Calculadora!$B$14))*12</f>
        <v>16.5948</v>
      </c>
      <c r="E7" s="22" t="n">
        <f aca="false">(E$5-(($A7*Calculadora!$B$19/1000)+Calculadora!$B$22+Calculadora!$B$23)*(1+Calculadora!$B$14))*12</f>
        <v>19.5948</v>
      </c>
      <c r="F7" s="22" t="n">
        <f aca="false">(F$5-(($A7*Calculadora!$B$19/1000)+Calculadora!$B$22+Calculadora!$B$23)*(1+Calculadora!$B$14))*12</f>
        <v>22.5948</v>
      </c>
      <c r="G7" s="22" t="n">
        <f aca="false">(G$5-(($A7*Calculadora!$B$19/1000)+Calculadora!$B$22+Calculadora!$B$23)*(1+Calculadora!$B$14))*12</f>
        <v>25.5948</v>
      </c>
      <c r="H7" s="22" t="n">
        <f aca="false">(H$5-(($A7*Calculadora!$B$19/1000)+Calculadora!$B$22+Calculadora!$B$23)*(1+Calculadora!$B$14))*12</f>
        <v>28.5948</v>
      </c>
    </row>
    <row r="8" customFormat="false" ht="15" hidden="false" customHeight="false" outlineLevel="0" collapsed="false">
      <c r="A8" s="21" t="n">
        <v>8</v>
      </c>
      <c r="B8" s="22" t="n">
        <f aca="false">(B$5-(($A8*Calculadora!$B$19/1000)+Calculadora!$B$22+Calculadora!$B$23)*(1+Calculadora!$B$14))*12</f>
        <v>8.37</v>
      </c>
      <c r="C8" s="22" t="n">
        <f aca="false">(C$5-(($A8*Calculadora!$B$19/1000)+Calculadora!$B$22+Calculadora!$B$23)*(1+Calculadora!$B$14))*12</f>
        <v>11.37</v>
      </c>
      <c r="D8" s="22" t="n">
        <f aca="false">(D$5-(($A8*Calculadora!$B$19/1000)+Calculadora!$B$22+Calculadora!$B$23)*(1+Calculadora!$B$14))*12</f>
        <v>14.37</v>
      </c>
      <c r="E8" s="22" t="n">
        <f aca="false">(E$5-(($A8*Calculadora!$B$19/1000)+Calculadora!$B$22+Calculadora!$B$23)*(1+Calculadora!$B$14))*12</f>
        <v>17.37</v>
      </c>
      <c r="F8" s="22" t="n">
        <f aca="false">(F$5-(($A8*Calculadora!$B$19/1000)+Calculadora!$B$22+Calculadora!$B$23)*(1+Calculadora!$B$14))*12</f>
        <v>20.37</v>
      </c>
      <c r="G8" s="22" t="n">
        <f aca="false">(G$5-(($A8*Calculadora!$B$19/1000)+Calculadora!$B$22+Calculadora!$B$23)*(1+Calculadora!$B$14))*12</f>
        <v>23.37</v>
      </c>
      <c r="H8" s="22" t="n">
        <f aca="false">(H$5-(($A8*Calculadora!$B$19/1000)+Calculadora!$B$22+Calculadora!$B$23)*(1+Calculadora!$B$14))*12</f>
        <v>26.37</v>
      </c>
    </row>
    <row r="9" customFormat="false" ht="15" hidden="false" customHeight="false" outlineLevel="0" collapsed="false">
      <c r="A9" s="21" t="n">
        <v>9</v>
      </c>
      <c r="B9" s="22" t="n">
        <f aca="false">(B$5-(($A9*Calculadora!$B$19/1000)+Calculadora!$B$22+Calculadora!$B$23)*(1+Calculadora!$B$14))*12</f>
        <v>6.1452</v>
      </c>
      <c r="C9" s="22" t="n">
        <f aca="false">(C$5-(($A9*Calculadora!$B$19/1000)+Calculadora!$B$22+Calculadora!$B$23)*(1+Calculadora!$B$14))*12</f>
        <v>9.1452</v>
      </c>
      <c r="D9" s="22" t="n">
        <f aca="false">(D$5-(($A9*Calculadora!$B$19/1000)+Calculadora!$B$22+Calculadora!$B$23)*(1+Calculadora!$B$14))*12</f>
        <v>12.1452</v>
      </c>
      <c r="E9" s="22" t="n">
        <f aca="false">(E$5-(($A9*Calculadora!$B$19/1000)+Calculadora!$B$22+Calculadora!$B$23)*(1+Calculadora!$B$14))*12</f>
        <v>15.1452</v>
      </c>
      <c r="F9" s="22" t="n">
        <f aca="false">(F$5-(($A9*Calculadora!$B$19/1000)+Calculadora!$B$22+Calculadora!$B$23)*(1+Calculadora!$B$14))*12</f>
        <v>18.1452</v>
      </c>
      <c r="G9" s="22" t="n">
        <f aca="false">(G$5-(($A9*Calculadora!$B$19/1000)+Calculadora!$B$22+Calculadora!$B$23)*(1+Calculadora!$B$14))*12</f>
        <v>21.1452</v>
      </c>
      <c r="H9" s="22" t="n">
        <f aca="false">(H$5-(($A9*Calculadora!$B$19/1000)+Calculadora!$B$22+Calculadora!$B$23)*(1+Calculadora!$B$14))*12</f>
        <v>24.1452</v>
      </c>
    </row>
    <row r="10" customFormat="false" ht="15" hidden="false" customHeight="false" outlineLevel="0" collapsed="false">
      <c r="A10" s="21" t="n">
        <v>10</v>
      </c>
      <c r="B10" s="22" t="n">
        <f aca="false">(B$5-(($A10*Calculadora!$B$19/1000)+Calculadora!$B$22+Calculadora!$B$23)*(1+Calculadora!$B$14))*12</f>
        <v>3.9204</v>
      </c>
      <c r="C10" s="22" t="n">
        <f aca="false">(C$5-(($A10*Calculadora!$B$19/1000)+Calculadora!$B$22+Calculadora!$B$23)*(1+Calculadora!$B$14))*12</f>
        <v>6.9204</v>
      </c>
      <c r="D10" s="22" t="n">
        <f aca="false">(D$5-(($A10*Calculadora!$B$19/1000)+Calculadora!$B$22+Calculadora!$B$23)*(1+Calculadora!$B$14))*12</f>
        <v>9.9204</v>
      </c>
      <c r="E10" s="22" t="n">
        <f aca="false">(E$5-(($A10*Calculadora!$B$19/1000)+Calculadora!$B$22+Calculadora!$B$23)*(1+Calculadora!$B$14))*12</f>
        <v>12.9204</v>
      </c>
      <c r="F10" s="22" t="n">
        <f aca="false">(F$5-(($A10*Calculadora!$B$19/1000)+Calculadora!$B$22+Calculadora!$B$23)*(1+Calculadora!$B$14))*12</f>
        <v>15.9204</v>
      </c>
      <c r="G10" s="22" t="n">
        <f aca="false">(G$5-(($A10*Calculadora!$B$19/1000)+Calculadora!$B$22+Calculadora!$B$23)*(1+Calculadora!$B$14))*12</f>
        <v>18.9204</v>
      </c>
      <c r="H10" s="22" t="n">
        <f aca="false">(H$5-(($A10*Calculadora!$B$19/1000)+Calculadora!$B$22+Calculadora!$B$23)*(1+Calculadora!$B$14))*12</f>
        <v>21.9204</v>
      </c>
    </row>
    <row r="11" customFormat="false" ht="15" hidden="false" customHeight="false" outlineLevel="0" collapsed="false">
      <c r="A11" s="21" t="n">
        <v>11</v>
      </c>
      <c r="B11" s="22" t="n">
        <f aca="false">(B$5-(($A11*Calculadora!$B$19/1000)+Calculadora!$B$22+Calculadora!$B$23)*(1+Calculadora!$B$14))*12</f>
        <v>1.6956</v>
      </c>
      <c r="C11" s="22" t="n">
        <f aca="false">(C$5-(($A11*Calculadora!$B$19/1000)+Calculadora!$B$22+Calculadora!$B$23)*(1+Calculadora!$B$14))*12</f>
        <v>4.6956</v>
      </c>
      <c r="D11" s="22" t="n">
        <f aca="false">(D$5-(($A11*Calculadora!$B$19/1000)+Calculadora!$B$22+Calculadora!$B$23)*(1+Calculadora!$B$14))*12</f>
        <v>7.6956</v>
      </c>
      <c r="E11" s="22" t="n">
        <f aca="false">(E$5-(($A11*Calculadora!$B$19/1000)+Calculadora!$B$22+Calculadora!$B$23)*(1+Calculadora!$B$14))*12</f>
        <v>10.6956</v>
      </c>
      <c r="F11" s="22" t="n">
        <f aca="false">(F$5-(($A11*Calculadora!$B$19/1000)+Calculadora!$B$22+Calculadora!$B$23)*(1+Calculadora!$B$14))*12</f>
        <v>13.6956</v>
      </c>
      <c r="G11" s="22" t="n">
        <f aca="false">(G$5-(($A11*Calculadora!$B$19/1000)+Calculadora!$B$22+Calculadora!$B$23)*(1+Calculadora!$B$14))*12</f>
        <v>16.6956</v>
      </c>
      <c r="H11" s="22" t="n">
        <f aca="false">(H$5-(($A11*Calculadora!$B$19/1000)+Calculadora!$B$22+Calculadora!$B$23)*(1+Calculadora!$B$14))*12</f>
        <v>19.6956</v>
      </c>
    </row>
    <row r="12" customFormat="false" ht="15" hidden="false" customHeight="false" outlineLevel="0" collapsed="false">
      <c r="A12" s="21" t="n">
        <v>12</v>
      </c>
      <c r="B12" s="22" t="n">
        <f aca="false">(B$5-(($A12*Calculadora!$B$19/1000)+Calculadora!$B$22+Calculadora!$B$23)*(1+Calculadora!$B$14))*12</f>
        <v>-0.529200000000003</v>
      </c>
      <c r="C12" s="22" t="n">
        <f aca="false">(C$5-(($A12*Calculadora!$B$19/1000)+Calculadora!$B$22+Calculadora!$B$23)*(1+Calculadora!$B$14))*12</f>
        <v>2.4708</v>
      </c>
      <c r="D12" s="22" t="n">
        <f aca="false">(D$5-(($A12*Calculadora!$B$19/1000)+Calculadora!$B$22+Calculadora!$B$23)*(1+Calculadora!$B$14))*12</f>
        <v>5.4708</v>
      </c>
      <c r="E12" s="22" t="n">
        <f aca="false">(E$5-(($A12*Calculadora!$B$19/1000)+Calculadora!$B$22+Calculadora!$B$23)*(1+Calculadora!$B$14))*12</f>
        <v>8.4708</v>
      </c>
      <c r="F12" s="22" t="n">
        <f aca="false">(F$5-(($A12*Calculadora!$B$19/1000)+Calculadora!$B$22+Calculadora!$B$23)*(1+Calculadora!$B$14))*12</f>
        <v>11.4708</v>
      </c>
      <c r="G12" s="22" t="n">
        <f aca="false">(G$5-(($A12*Calculadora!$B$19/1000)+Calculadora!$B$22+Calculadora!$B$23)*(1+Calculadora!$B$14))*12</f>
        <v>14.4708</v>
      </c>
      <c r="H12" s="22" t="n">
        <f aca="false">(H$5-(($A12*Calculadora!$B$19/1000)+Calculadora!$B$22+Calculadora!$B$23)*(1+Calculadora!$B$14))*12</f>
        <v>17.4708</v>
      </c>
    </row>
    <row r="14" customFormat="false" ht="15" hidden="false" customHeight="false" outlineLevel="0" collapsed="false">
      <c r="A14" s="7" t="s">
        <v>87</v>
      </c>
    </row>
    <row r="15" customFormat="false" ht="15" hidden="false" customHeight="false" outlineLevel="0" collapsed="false">
      <c r="A15" s="7" t="s">
        <v>88</v>
      </c>
    </row>
  </sheetData>
  <conditionalFormatting sqref="B6:H12">
    <cfRule type="cellIs" priority="2" operator="less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6</formula>
      <formula>9.99</formula>
    </cfRule>
    <cfRule type="cellIs" priority="4" operator="greaterThanOrEqual" aboveAverage="0" equalAverage="0" bottom="0" percent="0" rank="0" text="" dxfId="2">
      <formula>10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2026-10-07T00:22:17Z</dcterms:created>
  <dc:creator>openpyxl</dc:creator>
  <dc:description/>
  <dc:language>en-US</dc:language>
  <cp:lastModifiedBy/>
  <dcterms:modified xsi:type="dcterms:W3CDTF">2026-10-07T00:22:17Z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